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\Documents\udea\Codigos, archivos,etc\metodos estadisticos\"/>
    </mc:Choice>
  </mc:AlternateContent>
  <xr:revisionPtr revIDLastSave="0" documentId="13_ncr:1_{80648B9D-35B6-4378-9FAF-B6730416F529}" xr6:coauthVersionLast="47" xr6:coauthVersionMax="47" xr10:uidLastSave="{00000000-0000-0000-0000-000000000000}"/>
  <bookViews>
    <workbookView xWindow="5235" yWindow="-30" windowWidth="15375" windowHeight="7875" xr2:uid="{A8B8BBB3-2D13-4A9E-9128-CDE4639CCE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J6" i="1"/>
  <c r="J5" i="1"/>
  <c r="J4" i="1"/>
  <c r="J3" i="1"/>
  <c r="I8" i="1"/>
  <c r="I7" i="1"/>
  <c r="I6" i="1"/>
  <c r="I5" i="1"/>
  <c r="I4" i="1"/>
  <c r="I3" i="1"/>
  <c r="I10" i="1"/>
  <c r="J19" i="1"/>
  <c r="I21" i="1"/>
  <c r="I20" i="1"/>
  <c r="I19" i="1"/>
  <c r="D24" i="1"/>
  <c r="D23" i="1"/>
  <c r="D22" i="1"/>
  <c r="F21" i="1"/>
  <c r="D21" i="1"/>
  <c r="F20" i="1"/>
  <c r="D20" i="1"/>
  <c r="F19" i="1"/>
  <c r="D19" i="1"/>
  <c r="H4" i="1"/>
  <c r="H5" i="1"/>
  <c r="H6" i="1"/>
  <c r="H7" i="1"/>
  <c r="H3" i="1"/>
  <c r="G12" i="1"/>
  <c r="G13" i="1"/>
  <c r="F13" i="1"/>
  <c r="C12" i="1"/>
  <c r="C14" i="1" s="1"/>
  <c r="E14" i="1" s="1"/>
  <c r="E13" i="1"/>
  <c r="E12" i="1"/>
  <c r="C13" i="1"/>
  <c r="C15" i="1"/>
  <c r="H10" i="1"/>
  <c r="G4" i="1"/>
  <c r="G5" i="1"/>
  <c r="G6" i="1"/>
  <c r="G7" i="1"/>
  <c r="G8" i="1"/>
  <c r="G3" i="1"/>
  <c r="C8" i="1"/>
  <c r="D8" i="1"/>
  <c r="E8" i="1"/>
  <c r="F8" i="1"/>
  <c r="F12" i="1" l="1"/>
</calcChain>
</file>

<file path=xl/sharedStrings.xml><?xml version="1.0" encoding="utf-8"?>
<sst xmlns="http://schemas.openxmlformats.org/spreadsheetml/2006/main" count="57" uniqueCount="48">
  <si>
    <t>Lugar</t>
  </si>
  <si>
    <t>L1</t>
  </si>
  <si>
    <t>L2</t>
  </si>
  <si>
    <t>L3</t>
  </si>
  <si>
    <t>L4</t>
  </si>
  <si>
    <t>L5</t>
  </si>
  <si>
    <t>E1</t>
  </si>
  <si>
    <t>E2</t>
  </si>
  <si>
    <t>E3</t>
  </si>
  <si>
    <t>E4</t>
  </si>
  <si>
    <t>Sumas</t>
  </si>
  <si>
    <t>Fc</t>
  </si>
  <si>
    <t>Fv</t>
  </si>
  <si>
    <t>Establecimiento</t>
  </si>
  <si>
    <t>Error</t>
  </si>
  <si>
    <t>Total</t>
  </si>
  <si>
    <t>SC</t>
  </si>
  <si>
    <t>GL</t>
  </si>
  <si>
    <t>MC</t>
  </si>
  <si>
    <t>FO</t>
  </si>
  <si>
    <t>Ft</t>
  </si>
  <si>
    <t>Promedio</t>
  </si>
  <si>
    <t>H0</t>
  </si>
  <si>
    <t>Ha</t>
  </si>
  <si>
    <t>Diferencia</t>
  </si>
  <si>
    <t>m1=m4</t>
  </si>
  <si>
    <t>m1!=m4</t>
  </si>
  <si>
    <t>Rp</t>
  </si>
  <si>
    <t>R4</t>
  </si>
  <si>
    <t>Rechazo Ho</t>
  </si>
  <si>
    <t>m2,5=m1</t>
  </si>
  <si>
    <t>m2,5!=m1</t>
  </si>
  <si>
    <t>R3</t>
  </si>
  <si>
    <t>R2</t>
  </si>
  <si>
    <t>m1=m3</t>
  </si>
  <si>
    <t>m1!=m3</t>
  </si>
  <si>
    <t>No rechazo Ho</t>
  </si>
  <si>
    <t>m4=m3</t>
  </si>
  <si>
    <t>m4!=m3</t>
  </si>
  <si>
    <t>m2,5=m3</t>
  </si>
  <si>
    <t>m2,5!=m3</t>
  </si>
  <si>
    <t>m4=m2,5</t>
  </si>
  <si>
    <t>m4!=m2,5</t>
  </si>
  <si>
    <t>ER</t>
  </si>
  <si>
    <t>r</t>
  </si>
  <si>
    <t>Mg</t>
  </si>
  <si>
    <t>tao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</si>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</sst>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5" borderId="0" xfId="0" applyFill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164" fontId="0" fillId="3" borderId="1" xfId="0" applyNumberFormat="1" applyFill="1" applyBorder="1"/>
    <xf numFmtId="2" fontId="0" fillId="3" borderId="1" xfId="0" applyNumberFormat="1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0" xfId="0" applyFill="1"/>
    <xf numFmtId="0" fontId="0" fillId="0" borderId="0" xfId="0" applyFill="1" applyBorder="1"/>
    <xf numFmtId="0" fontId="0" fillId="0" borderId="0" xfId="0" applyFill="1"/>
    <xf numFmtId="0" fontId="0" fillId="3" borderId="0" xfId="0" applyFill="1"/>
    <xf numFmtId="0" fontId="0" fillId="3" borderId="0" xfId="0" applyFill="1" applyBorder="1"/>
    <xf numFmtId="0" fontId="1" fillId="3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815-4EF8-47D7-88A3-788D68F44D79}">
  <dimension ref="B2:J24"/>
  <sheetViews>
    <sheetView tabSelected="1" topLeftCell="D10" workbookViewId="0">
      <selection activeCell="J20" sqref="J20"/>
    </sheetView>
  </sheetViews>
  <sheetFormatPr baseColWidth="10" defaultRowHeight="15" x14ac:dyDescent="0.25"/>
  <cols>
    <col min="2" max="2" width="16.28515625" customWidth="1"/>
    <col min="3" max="3" width="11.85546875" bestFit="1" customWidth="1"/>
    <col min="5" max="5" width="13.5703125" bestFit="1" customWidth="1"/>
    <col min="6" max="6" width="16.7109375" bestFit="1" customWidth="1"/>
    <col min="10" max="10" width="11.85546875" bestFit="1" customWidth="1"/>
  </cols>
  <sheetData>
    <row r="2" spans="2:10" x14ac:dyDescent="0.25">
      <c r="B2" s="2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10</v>
      </c>
      <c r="H2" s="9" t="s">
        <v>21</v>
      </c>
      <c r="I2" s="9" t="s">
        <v>46</v>
      </c>
      <c r="J2" s="9" t="s">
        <v>47</v>
      </c>
    </row>
    <row r="3" spans="2:10" x14ac:dyDescent="0.25">
      <c r="B3" s="2" t="s">
        <v>1</v>
      </c>
      <c r="C3" s="4">
        <v>13</v>
      </c>
      <c r="D3" s="4">
        <v>15</v>
      </c>
      <c r="E3" s="4">
        <v>17</v>
      </c>
      <c r="F3" s="4">
        <v>18</v>
      </c>
      <c r="G3" s="5">
        <f>SUM(C3:F3)</f>
        <v>63</v>
      </c>
      <c r="H3">
        <f>G3/4</f>
        <v>15.75</v>
      </c>
      <c r="I3">
        <f>H3-I10</f>
        <v>4</v>
      </c>
      <c r="J3">
        <f>C8/5-I10</f>
        <v>-1.5500000000000007</v>
      </c>
    </row>
    <row r="4" spans="2:10" x14ac:dyDescent="0.25">
      <c r="B4" s="2" t="s">
        <v>2</v>
      </c>
      <c r="C4" s="4">
        <v>7</v>
      </c>
      <c r="D4" s="4">
        <v>11</v>
      </c>
      <c r="E4" s="4">
        <v>12</v>
      </c>
      <c r="F4" s="4">
        <v>16</v>
      </c>
      <c r="G4" s="5">
        <f t="shared" ref="G4:G8" si="0">SUM(C4:F4)</f>
        <v>46</v>
      </c>
      <c r="H4">
        <f t="shared" ref="H4:H7" si="1">G4/4</f>
        <v>11.5</v>
      </c>
      <c r="I4">
        <f>H4-I10</f>
        <v>-0.25</v>
      </c>
      <c r="J4">
        <f>D8/5-I10</f>
        <v>5.0000000000000711E-2</v>
      </c>
    </row>
    <row r="5" spans="2:10" x14ac:dyDescent="0.25">
      <c r="B5" s="2" t="s">
        <v>3</v>
      </c>
      <c r="C5" s="4">
        <v>9</v>
      </c>
      <c r="D5" s="4">
        <v>15</v>
      </c>
      <c r="E5" s="4">
        <v>14</v>
      </c>
      <c r="F5" s="4">
        <v>13</v>
      </c>
      <c r="G5" s="5">
        <f t="shared" si="0"/>
        <v>51</v>
      </c>
      <c r="H5">
        <f t="shared" si="1"/>
        <v>12.75</v>
      </c>
      <c r="I5">
        <f>H5-I10</f>
        <v>1</v>
      </c>
      <c r="J5">
        <f>E8/5-I10</f>
        <v>0.25</v>
      </c>
    </row>
    <row r="6" spans="2:10" x14ac:dyDescent="0.25">
      <c r="B6" s="2" t="s">
        <v>4</v>
      </c>
      <c r="C6" s="4">
        <v>8</v>
      </c>
      <c r="D6" s="4">
        <v>6</v>
      </c>
      <c r="E6" s="4">
        <v>7</v>
      </c>
      <c r="F6" s="4">
        <v>8</v>
      </c>
      <c r="G6" s="5">
        <f t="shared" si="0"/>
        <v>29</v>
      </c>
      <c r="H6">
        <f t="shared" si="1"/>
        <v>7.25</v>
      </c>
      <c r="I6">
        <f>H6-I10</f>
        <v>-4.5</v>
      </c>
      <c r="J6">
        <f>F8/5-I10</f>
        <v>1.25</v>
      </c>
    </row>
    <row r="7" spans="2:10" x14ac:dyDescent="0.25">
      <c r="B7" s="2" t="s">
        <v>5</v>
      </c>
      <c r="C7" s="4">
        <v>14</v>
      </c>
      <c r="D7" s="4">
        <v>12</v>
      </c>
      <c r="E7" s="4">
        <v>10</v>
      </c>
      <c r="F7" s="4">
        <v>10</v>
      </c>
      <c r="G7" s="5">
        <f t="shared" si="0"/>
        <v>46</v>
      </c>
      <c r="H7">
        <f t="shared" si="1"/>
        <v>11.5</v>
      </c>
      <c r="I7">
        <f>H7-I10</f>
        <v>-0.25</v>
      </c>
    </row>
    <row r="8" spans="2:10" x14ac:dyDescent="0.25">
      <c r="B8" s="3" t="s">
        <v>10</v>
      </c>
      <c r="C8" s="5">
        <f>SUM(C3:C7)</f>
        <v>51</v>
      </c>
      <c r="D8" s="5">
        <f t="shared" ref="D8:F8" si="2">SUM(D3:D7)</f>
        <v>59</v>
      </c>
      <c r="E8" s="5">
        <f t="shared" si="2"/>
        <v>60</v>
      </c>
      <c r="F8" s="5">
        <f t="shared" si="2"/>
        <v>65</v>
      </c>
      <c r="G8" s="3">
        <f t="shared" si="0"/>
        <v>235</v>
      </c>
      <c r="I8" s="17">
        <f>SUM(I3:I7)</f>
        <v>0</v>
      </c>
      <c r="J8" s="17">
        <f>SUM(J3:J6)</f>
        <v>0</v>
      </c>
    </row>
    <row r="9" spans="2:10" x14ac:dyDescent="0.25">
      <c r="H9" s="1" t="s">
        <v>11</v>
      </c>
      <c r="I9" s="1" t="s">
        <v>45</v>
      </c>
    </row>
    <row r="10" spans="2:10" x14ac:dyDescent="0.25">
      <c r="H10" s="17">
        <f>G8^2/20</f>
        <v>2761.25</v>
      </c>
      <c r="I10" s="17">
        <f>AVERAGE(C3:F7)</f>
        <v>11.75</v>
      </c>
    </row>
    <row r="11" spans="2:10" x14ac:dyDescent="0.25">
      <c r="B11" s="2" t="s">
        <v>12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</row>
    <row r="12" spans="2:10" x14ac:dyDescent="0.25">
      <c r="B12" s="2" t="s">
        <v>0</v>
      </c>
      <c r="C12" s="8">
        <f>SUMSQ(G3:G7)/4-H10</f>
        <v>149.5</v>
      </c>
      <c r="D12" s="4">
        <v>4</v>
      </c>
      <c r="E12" s="4">
        <f>C12/4</f>
        <v>37.375</v>
      </c>
      <c r="F12" s="7">
        <f>E12/E14</f>
        <v>6.3980028530670561</v>
      </c>
      <c r="G12" s="7">
        <f>_xlfn.F.INV.RT(0.05,D12,D14)</f>
        <v>3.2591667269012499</v>
      </c>
    </row>
    <row r="13" spans="2:10" x14ac:dyDescent="0.25">
      <c r="B13" s="2" t="s">
        <v>13</v>
      </c>
      <c r="C13" s="4">
        <f>SUMSQ(C8:F8)/5-H10</f>
        <v>20.150000000000091</v>
      </c>
      <c r="D13" s="4">
        <v>3</v>
      </c>
      <c r="E13" s="7">
        <f>C13/D13</f>
        <v>6.716666666666697</v>
      </c>
      <c r="F13" s="7">
        <f>E13/E14</f>
        <v>1.149786019971476</v>
      </c>
      <c r="G13" s="7">
        <f>_xlfn.F.INV.RT(0.05,D13,D14)</f>
        <v>3.4902948194976045</v>
      </c>
    </row>
    <row r="14" spans="2:10" x14ac:dyDescent="0.25">
      <c r="B14" s="2" t="s">
        <v>14</v>
      </c>
      <c r="C14" s="8">
        <f>C15-C12-C13</f>
        <v>70.099999999999909</v>
      </c>
      <c r="D14" s="4">
        <v>12</v>
      </c>
      <c r="E14" s="7">
        <f>C14/D14</f>
        <v>5.8416666666666588</v>
      </c>
      <c r="F14" s="6"/>
    </row>
    <row r="15" spans="2:10" x14ac:dyDescent="0.25">
      <c r="B15" s="2" t="s">
        <v>15</v>
      </c>
      <c r="C15" s="4">
        <f>SUMSQ(C3:F7)-H10</f>
        <v>239.75</v>
      </c>
      <c r="D15" s="4">
        <v>19</v>
      </c>
      <c r="E15" s="6"/>
      <c r="F15" s="6"/>
    </row>
    <row r="18" spans="2:10" x14ac:dyDescent="0.25">
      <c r="B18" s="10" t="s">
        <v>22</v>
      </c>
      <c r="C18" s="11" t="s">
        <v>23</v>
      </c>
      <c r="D18" s="11" t="s">
        <v>24</v>
      </c>
      <c r="E18" s="13"/>
      <c r="F18" s="11" t="s">
        <v>27</v>
      </c>
      <c r="I18" s="1" t="s">
        <v>43</v>
      </c>
      <c r="J18" s="1" t="s">
        <v>44</v>
      </c>
    </row>
    <row r="19" spans="2:10" x14ac:dyDescent="0.25">
      <c r="B19" s="12" t="s">
        <v>25</v>
      </c>
      <c r="C19" s="14" t="s">
        <v>26</v>
      </c>
      <c r="D19">
        <f>H3-H6</f>
        <v>8.5</v>
      </c>
      <c r="E19" t="s">
        <v>28</v>
      </c>
      <c r="F19">
        <f>3.313*SQRT(E14/4)</f>
        <v>4.0036843107838367</v>
      </c>
      <c r="G19" t="s">
        <v>29</v>
      </c>
      <c r="I19">
        <f>(D13*E13+4*D12*E14)/(D15*E14)</f>
        <v>1.0236504242060225</v>
      </c>
      <c r="J19">
        <f>4*I21</f>
        <v>3.9922366544034875</v>
      </c>
    </row>
    <row r="20" spans="2:10" x14ac:dyDescent="0.25">
      <c r="B20" t="s">
        <v>30</v>
      </c>
      <c r="C20" s="14" t="s">
        <v>31</v>
      </c>
      <c r="D20">
        <f>H3-H4</f>
        <v>4.25</v>
      </c>
      <c r="E20" t="s">
        <v>32</v>
      </c>
      <c r="F20">
        <f>3.225*SQRT(E14/4)</f>
        <v>3.8973383345239583</v>
      </c>
      <c r="G20" t="s">
        <v>29</v>
      </c>
      <c r="I20">
        <f>(13*18)/(15*16)</f>
        <v>0.97499999999999998</v>
      </c>
      <c r="J20" s="17">
        <v>4</v>
      </c>
    </row>
    <row r="21" spans="2:10" x14ac:dyDescent="0.25">
      <c r="B21" s="14" t="s">
        <v>34</v>
      </c>
      <c r="C21" t="s">
        <v>35</v>
      </c>
      <c r="D21">
        <f>H3-H5</f>
        <v>3</v>
      </c>
      <c r="E21" t="s">
        <v>33</v>
      </c>
      <c r="F21">
        <f>3.082*SQRT(E14/4)</f>
        <v>3.7245261231016551</v>
      </c>
      <c r="G21" t="s">
        <v>36</v>
      </c>
      <c r="I21" s="17">
        <f>I19*I20</f>
        <v>0.99805916360087188</v>
      </c>
    </row>
    <row r="22" spans="2:10" x14ac:dyDescent="0.25">
      <c r="B22" s="12" t="s">
        <v>37</v>
      </c>
      <c r="C22" s="14" t="s">
        <v>38</v>
      </c>
      <c r="D22">
        <f>H5-H6</f>
        <v>5.5</v>
      </c>
      <c r="E22" t="s">
        <v>32</v>
      </c>
      <c r="F22">
        <v>3.8969999999999998</v>
      </c>
      <c r="G22" t="s">
        <v>29</v>
      </c>
    </row>
    <row r="23" spans="2:10" x14ac:dyDescent="0.25">
      <c r="B23" s="15" t="s">
        <v>39</v>
      </c>
      <c r="C23" t="s">
        <v>40</v>
      </c>
      <c r="D23">
        <f>H5-H4</f>
        <v>1.25</v>
      </c>
      <c r="E23" t="s">
        <v>33</v>
      </c>
      <c r="F23">
        <v>3.7250000000000001</v>
      </c>
      <c r="G23" t="s">
        <v>36</v>
      </c>
    </row>
    <row r="24" spans="2:10" x14ac:dyDescent="0.25">
      <c r="B24" s="12" t="s">
        <v>41</v>
      </c>
      <c r="C24" s="16" t="s">
        <v>42</v>
      </c>
      <c r="D24">
        <f>H7-H6</f>
        <v>4.25</v>
      </c>
      <c r="E24" t="s">
        <v>33</v>
      </c>
      <c r="F24">
        <v>3.7250000000000001</v>
      </c>
      <c r="G24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Arroyave Rojas</dc:creator>
  <cp:lastModifiedBy>Familia Arroyave Rojas</cp:lastModifiedBy>
  <dcterms:created xsi:type="dcterms:W3CDTF">2023-05-01T18:13:33Z</dcterms:created>
  <dcterms:modified xsi:type="dcterms:W3CDTF">2023-05-02T01:17:44Z</dcterms:modified>
</cp:coreProperties>
</file>
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\Documents\udea\Codigos, archivos,etc\metodos estadisticos\"/>
    </mc:Choice>
  </mc:AlternateContent>
  <xr:revisionPtr revIDLastSave="0" documentId="8_{FDC3CF4E-F13D-480A-81B7-F9639A865C76}" xr6:coauthVersionLast="47" xr6:coauthVersionMax="47" xr10:uidLastSave="{00000000-0000-0000-0000-000000000000}"/>
  <bookViews>
    <workbookView xWindow="-120" yWindow="-120" windowWidth="20730" windowHeight="11040" xr2:uid="{B99A91D3-43EC-46D2-8C1A-629A06E6F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H9" i="1"/>
  <c r="B10" i="1"/>
  <c r="C10" i="1"/>
  <c r="D10" i="1"/>
  <c r="E10" i="1"/>
  <c r="M3" i="1"/>
  <c r="L3" i="1"/>
  <c r="K4" i="1"/>
  <c r="K3" i="1"/>
  <c r="I4" i="1"/>
  <c r="I3" i="1"/>
  <c r="I5" i="1"/>
  <c r="G9" i="1"/>
  <c r="F9" i="1"/>
  <c r="C9" i="1"/>
  <c r="D9" i="1"/>
  <c r="E9" i="1"/>
  <c r="B9" i="1"/>
</calcChain>
</file>

<file path=xl/sharedStrings.xml><?xml version="1.0" encoding="utf-8"?>
<sst xmlns="http://schemas.openxmlformats.org/spreadsheetml/2006/main" count="21" uniqueCount="21">
  <si>
    <t>Maquina1</t>
  </si>
  <si>
    <t>Maquina2</t>
  </si>
  <si>
    <t xml:space="preserve">Maquina3 </t>
  </si>
  <si>
    <t>Maquina4</t>
  </si>
  <si>
    <t>FV</t>
  </si>
  <si>
    <t>SC</t>
  </si>
  <si>
    <t>GL</t>
  </si>
  <si>
    <t>MC</t>
  </si>
  <si>
    <t>F0</t>
  </si>
  <si>
    <t>Ft</t>
  </si>
  <si>
    <t>Maquina</t>
  </si>
  <si>
    <t>Error</t>
  </si>
  <si>
    <t>Total</t>
  </si>
  <si>
    <t>FC</t>
  </si>
  <si>
    <t>Medias</t>
  </si>
  <si>
    <t>Sumas</t>
  </si>
  <si>
    <t>Media global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</si>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</sst>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167" fontId="0" fillId="3" borderId="1" xfId="0" applyNumberFormat="1" applyFill="1" applyBorder="1"/>
    <xf numFmtId="0" fontId="0" fillId="2" borderId="0" xfId="0" applyFill="1" applyBorder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875B-A3EF-4984-A6C8-99B586E29F73}">
  <dimension ref="A2:M17"/>
  <sheetViews>
    <sheetView tabSelected="1" workbookViewId="0">
      <selection activeCell="C17" sqref="C17"/>
    </sheetView>
  </sheetViews>
  <sheetFormatPr baseColWidth="10" defaultRowHeight="15" x14ac:dyDescent="0.25"/>
  <cols>
    <col min="3" max="3" width="12.7109375" bestFit="1" customWidth="1"/>
  </cols>
  <sheetData>
    <row r="2" spans="1:13" x14ac:dyDescent="0.25">
      <c r="B2" s="1" t="s">
        <v>0</v>
      </c>
      <c r="C2" s="1" t="s">
        <v>1</v>
      </c>
      <c r="D2" s="1" t="s">
        <v>2</v>
      </c>
      <c r="E2" s="1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</row>
    <row r="3" spans="1:13" x14ac:dyDescent="0.25">
      <c r="B3" s="2">
        <v>6.4</v>
      </c>
      <c r="C3" s="2">
        <v>8.6999999999999993</v>
      </c>
      <c r="D3" s="2">
        <v>11.1</v>
      </c>
      <c r="E3" s="2">
        <v>9.9</v>
      </c>
      <c r="H3" s="3" t="s">
        <v>10</v>
      </c>
      <c r="I3" s="2">
        <f>SUMSQ(B9:E9)/6-G9</f>
        <v>57.764999999998508</v>
      </c>
      <c r="J3" s="2">
        <v>3</v>
      </c>
      <c r="K3" s="2">
        <f>I3/J3</f>
        <v>19.254999999999502</v>
      </c>
      <c r="L3" s="7">
        <f>K3/K4</f>
        <v>19.994807892003408</v>
      </c>
      <c r="M3" s="7">
        <f>_xlfn.F.INV.RT(0.05,3,20)</f>
        <v>3.0983912121407795</v>
      </c>
    </row>
    <row r="4" spans="1:13" x14ac:dyDescent="0.25">
      <c r="B4" s="2">
        <v>7.8</v>
      </c>
      <c r="C4" s="2">
        <v>7.4</v>
      </c>
      <c r="D4" s="2">
        <v>10.3</v>
      </c>
      <c r="E4" s="2">
        <v>12.8</v>
      </c>
      <c r="H4" s="3" t="s">
        <v>11</v>
      </c>
      <c r="I4" s="2">
        <f>I5-I3</f>
        <v>19.260000000000218</v>
      </c>
      <c r="J4" s="2">
        <v>20</v>
      </c>
      <c r="K4" s="2">
        <f>I4/J4</f>
        <v>0.96300000000001096</v>
      </c>
      <c r="L4" s="6"/>
      <c r="M4" s="6"/>
    </row>
    <row r="5" spans="1:13" x14ac:dyDescent="0.25">
      <c r="B5" s="2">
        <v>5.3</v>
      </c>
      <c r="C5" s="2">
        <v>9.4</v>
      </c>
      <c r="D5" s="2">
        <v>9.6999999999999993</v>
      </c>
      <c r="E5" s="2">
        <v>12.1</v>
      </c>
      <c r="H5" s="3" t="s">
        <v>12</v>
      </c>
      <c r="I5" s="2">
        <f>SUMSQ(B3:E8)-G9</f>
        <v>77.024999999998727</v>
      </c>
      <c r="J5" s="2">
        <v>23</v>
      </c>
      <c r="K5" s="6"/>
      <c r="L5" s="6"/>
      <c r="M5" s="6"/>
    </row>
    <row r="6" spans="1:13" x14ac:dyDescent="0.25">
      <c r="B6" s="2">
        <v>7.4</v>
      </c>
      <c r="C6" s="2">
        <v>10.1</v>
      </c>
      <c r="D6" s="2">
        <v>10.3</v>
      </c>
      <c r="E6" s="2">
        <v>10.8</v>
      </c>
    </row>
    <row r="7" spans="1:13" x14ac:dyDescent="0.25">
      <c r="B7" s="2">
        <v>8.4</v>
      </c>
      <c r="C7" s="2">
        <v>9.1999999999999993</v>
      </c>
      <c r="D7" s="2">
        <v>9.1999999999999993</v>
      </c>
      <c r="E7" s="2">
        <v>11.3</v>
      </c>
    </row>
    <row r="8" spans="1:13" x14ac:dyDescent="0.25">
      <c r="B8" s="2">
        <v>7.3</v>
      </c>
      <c r="C8" s="2">
        <v>9.8000000000000007</v>
      </c>
      <c r="D8" s="2">
        <v>8.8000000000000007</v>
      </c>
      <c r="E8" s="2">
        <v>11.5</v>
      </c>
      <c r="G8" s="1" t="s">
        <v>13</v>
      </c>
      <c r="H8" s="8" t="s">
        <v>16</v>
      </c>
    </row>
    <row r="9" spans="1:13" x14ac:dyDescent="0.25">
      <c r="A9" s="3" t="s">
        <v>15</v>
      </c>
      <c r="B9" s="4">
        <f>SUM(B3:B8)</f>
        <v>42.599999999999994</v>
      </c>
      <c r="C9" s="4">
        <f t="shared" ref="C9:E9" si="0">SUM(C3:C8)</f>
        <v>54.599999999999994</v>
      </c>
      <c r="D9" s="4">
        <f t="shared" si="0"/>
        <v>59.399999999999991</v>
      </c>
      <c r="E9" s="4">
        <f t="shared" si="0"/>
        <v>68.400000000000006</v>
      </c>
      <c r="F9" s="5">
        <f>SUM(B3:E8)</f>
        <v>225.00000000000006</v>
      </c>
      <c r="G9" s="4">
        <f>F9^2/24</f>
        <v>2109.3750000000014</v>
      </c>
      <c r="H9" s="9">
        <f>F9/24</f>
        <v>9.3750000000000018</v>
      </c>
    </row>
    <row r="10" spans="1:13" x14ac:dyDescent="0.25">
      <c r="A10" s="3" t="s">
        <v>14</v>
      </c>
      <c r="B10">
        <f>B9/6</f>
        <v>7.0999999999999988</v>
      </c>
      <c r="C10">
        <f t="shared" ref="C10:E10" si="1">C9/6</f>
        <v>9.1</v>
      </c>
      <c r="D10">
        <f t="shared" si="1"/>
        <v>9.8999999999999986</v>
      </c>
      <c r="E10">
        <f t="shared" si="1"/>
        <v>11.4</v>
      </c>
    </row>
    <row r="13" spans="1:13" x14ac:dyDescent="0.25">
      <c r="B13" s="3" t="s">
        <v>17</v>
      </c>
      <c r="C13">
        <f>B10-H9</f>
        <v>-2.275000000000003</v>
      </c>
    </row>
    <row r="14" spans="1:13" x14ac:dyDescent="0.25">
      <c r="B14" s="3" t="s">
        <v>18</v>
      </c>
      <c r="C14">
        <f>C10-H9</f>
        <v>-0.27500000000000213</v>
      </c>
    </row>
    <row r="15" spans="1:13" x14ac:dyDescent="0.25">
      <c r="B15" s="3" t="s">
        <v>19</v>
      </c>
      <c r="C15">
        <f>D10-H9</f>
        <v>0.5249999999999968</v>
      </c>
    </row>
    <row r="16" spans="1:13" x14ac:dyDescent="0.25">
      <c r="B16" s="3" t="s">
        <v>20</v>
      </c>
      <c r="C16">
        <f>E10-H9</f>
        <v>2.0249999999999986</v>
      </c>
    </row>
    <row r="17" spans="3:3" x14ac:dyDescent="0.25">
      <c r="C17" s="10">
        <f>SUM(C13:C16)</f>
        <v>-9.7699626167013776E-15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Arroyave Rojas</dc:creator>
  <cp:lastModifiedBy>Familia Arroyave Rojas</cp:lastModifiedBy>
  <dcterms:created xsi:type="dcterms:W3CDTF">2023-05-01T23:25:52Z</dcterms:created>
  <dcterms:modified xsi:type="dcterms:W3CDTF">2023-05-01T23:50:53Z</dcterms:modified>
</cp:coreProperties>
</file>
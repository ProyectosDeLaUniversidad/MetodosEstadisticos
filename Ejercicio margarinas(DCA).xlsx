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\Documents\"/>
    </mc:Choice>
  </mc:AlternateContent>
  <xr:revisionPtr revIDLastSave="0" documentId="13_ncr:1_{096A9BFB-A0F2-4794-B6D5-909F1499F653}" xr6:coauthVersionLast="47" xr6:coauthVersionMax="47" xr10:uidLastSave="{00000000-0000-0000-0000-000000000000}"/>
  <bookViews>
    <workbookView xWindow="-120" yWindow="-120" windowWidth="15375" windowHeight="7875" xr2:uid="{3664D607-D396-4A16-909C-532078ACC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J12" i="1"/>
  <c r="G25" i="1"/>
  <c r="G19" i="1"/>
  <c r="H26" i="1"/>
  <c r="H25" i="1"/>
  <c r="H24" i="1"/>
  <c r="H23" i="1"/>
  <c r="H21" i="1"/>
  <c r="H22" i="1"/>
  <c r="H20" i="1"/>
  <c r="H19" i="1"/>
  <c r="H18" i="1"/>
  <c r="G18" i="1"/>
  <c r="K7" i="1"/>
  <c r="K6" i="1"/>
  <c r="K5" i="1"/>
  <c r="K4" i="1"/>
  <c r="K3" i="1"/>
  <c r="K2" i="1"/>
  <c r="J2" i="1"/>
  <c r="I7" i="1"/>
  <c r="I6" i="1"/>
  <c r="I5" i="1"/>
  <c r="I4" i="1"/>
  <c r="I3" i="1"/>
  <c r="I2" i="1"/>
  <c r="H12" i="1"/>
  <c r="G12" i="1"/>
  <c r="F12" i="1"/>
  <c r="E13" i="1"/>
  <c r="E12" i="1"/>
  <c r="C13" i="1"/>
  <c r="C12" i="1"/>
  <c r="H2" i="1"/>
  <c r="H3" i="1"/>
  <c r="H4" i="1"/>
  <c r="H5" i="1"/>
  <c r="H6" i="1"/>
  <c r="H7" i="1"/>
  <c r="I9" i="1"/>
  <c r="H8" i="1"/>
  <c r="C14" i="1"/>
  <c r="K8" i="1" l="1"/>
</calcChain>
</file>

<file path=xl/sharedStrings.xml><?xml version="1.0" encoding="utf-8"?>
<sst xmlns="http://schemas.openxmlformats.org/spreadsheetml/2006/main" count="119" uniqueCount="65">
  <si>
    <t>Imperial</t>
  </si>
  <si>
    <t>Parkay</t>
  </si>
  <si>
    <t>BlueBonnet</t>
  </si>
  <si>
    <t>Chiffon</t>
  </si>
  <si>
    <t>Mazola</t>
  </si>
  <si>
    <t>Freischmann´s</t>
  </si>
  <si>
    <t>Fuente de varición</t>
  </si>
  <si>
    <t>SC</t>
  </si>
  <si>
    <t>GL</t>
  </si>
  <si>
    <t>MC</t>
  </si>
  <si>
    <t>FO</t>
  </si>
  <si>
    <t>Ft</t>
  </si>
  <si>
    <t>Marca</t>
  </si>
  <si>
    <t>Error</t>
  </si>
  <si>
    <t>Total</t>
  </si>
  <si>
    <t>FC</t>
  </si>
  <si>
    <t>vp</t>
  </si>
  <si>
    <t>promedios</t>
  </si>
  <si>
    <t>Sumas</t>
  </si>
  <si>
    <t>Tao</t>
  </si>
  <si>
    <t>Mg</t>
  </si>
  <si>
    <t>m1</t>
  </si>
  <si>
    <t>m2</t>
  </si>
  <si>
    <t>m3</t>
  </si>
  <si>
    <t>m4</t>
  </si>
  <si>
    <t>m5</t>
  </si>
  <si>
    <t>m6</t>
  </si>
  <si>
    <t>Ho</t>
  </si>
  <si>
    <t>Ha</t>
  </si>
  <si>
    <t>LSD</t>
  </si>
  <si>
    <t>diferencia</t>
  </si>
  <si>
    <t>Mm1=Mm2</t>
  </si>
  <si>
    <t>Rechazo Ho</t>
  </si>
  <si>
    <t>Mm1!=Mm2</t>
  </si>
  <si>
    <t>Mm1=Mm3</t>
  </si>
  <si>
    <t>Mm1!=Mm3</t>
  </si>
  <si>
    <t>Mm1=Mm4</t>
  </si>
  <si>
    <t>Mm1!=Mm4</t>
  </si>
  <si>
    <t>Mm1=Mm5</t>
  </si>
  <si>
    <t>Mm1!=Mm5</t>
  </si>
  <si>
    <t>Mm1=Mm6</t>
  </si>
  <si>
    <t>Mm1!=Mm6</t>
  </si>
  <si>
    <t>Mm2=Mm3</t>
  </si>
  <si>
    <t>Mm2!=Mm3</t>
  </si>
  <si>
    <t>Mm2=Mm4</t>
  </si>
  <si>
    <t>Mm2!=Mm4</t>
  </si>
  <si>
    <t>Mm2=Mm5</t>
  </si>
  <si>
    <t>Mm2!=Mm5</t>
  </si>
  <si>
    <t>Mm2=Mm6</t>
  </si>
  <si>
    <t>Mm2!=Mm6</t>
  </si>
  <si>
    <t>Mm3=Mm4</t>
  </si>
  <si>
    <t>Mm3!=Mm4</t>
  </si>
  <si>
    <t>Mm3=Mm5</t>
  </si>
  <si>
    <t>Mm3!=Mm5</t>
  </si>
  <si>
    <t>Mm3=Mm6</t>
  </si>
  <si>
    <t>Mm3!=Mm6</t>
  </si>
  <si>
    <t>Mm4=Mm5</t>
  </si>
  <si>
    <t>Mm4!=Mm5</t>
  </si>
  <si>
    <t>Mm4=Mm6</t>
  </si>
  <si>
    <t>Mm4!=Mm6</t>
  </si>
  <si>
    <t>Mm5=Mm4</t>
  </si>
  <si>
    <t>NO rechazo Ho</t>
  </si>
  <si>
    <t>HSD</t>
  </si>
  <si>
    <t>r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</si>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</sst>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5" borderId="1" xfId="0" applyFill="1" applyBorder="1"/>
    <xf numFmtId="0" fontId="0" fillId="2" borderId="0" xfId="0" applyFill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6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4" borderId="1" xfId="0" applyFill="1" applyBorder="1"/>
    <xf numFmtId="0" fontId="0" fillId="7" borderId="0" xfId="0" applyFill="1"/>
    <xf numFmtId="0" fontId="0" fillId="8" borderId="0" xfId="0" applyFill="1"/>
    <xf numFmtId="165" fontId="0" fillId="5" borderId="1" xfId="0" applyNumberFormat="1" applyFill="1" applyBorder="1"/>
    <xf numFmtId="2" fontId="0" fillId="4" borderId="3" xfId="0" applyNumberFormat="1" applyFill="1" applyBorder="1"/>
    <xf numFmtId="165" fontId="0" fillId="0" borderId="0" xfId="0" applyNumberFormat="1"/>
    <xf numFmtId="0" fontId="0" fillId="2" borderId="4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B338-79EB-4B49-9791-974AE2AD5FDC}">
  <dimension ref="A1:N32"/>
  <sheetViews>
    <sheetView tabSelected="1" topLeftCell="I16" workbookViewId="0">
      <selection activeCell="M33" sqref="M33"/>
    </sheetView>
  </sheetViews>
  <sheetFormatPr baseColWidth="10" defaultRowHeight="15" x14ac:dyDescent="0.25"/>
  <cols>
    <col min="2" max="2" width="18.42578125" customWidth="1"/>
    <col min="8" max="8" width="12" bestFit="1" customWidth="1"/>
    <col min="9" max="9" width="14.85546875" customWidth="1"/>
  </cols>
  <sheetData>
    <row r="1" spans="2:11" x14ac:dyDescent="0.25">
      <c r="H1" s="1" t="s">
        <v>18</v>
      </c>
      <c r="I1" s="1" t="s">
        <v>17</v>
      </c>
      <c r="J1" s="1" t="s">
        <v>20</v>
      </c>
      <c r="K1" s="1" t="s">
        <v>19</v>
      </c>
    </row>
    <row r="2" spans="2:11" x14ac:dyDescent="0.25">
      <c r="B2" s="3" t="s">
        <v>0</v>
      </c>
      <c r="C2" s="2">
        <v>14.1</v>
      </c>
      <c r="D2" s="2">
        <v>13.6</v>
      </c>
      <c r="E2" s="2">
        <v>14.4</v>
      </c>
      <c r="F2" s="2">
        <v>14.3</v>
      </c>
      <c r="G2" s="2"/>
      <c r="H2" s="4">
        <f>SUM(C2:G2)</f>
        <v>56.400000000000006</v>
      </c>
      <c r="I2" s="4">
        <f>H2/4</f>
        <v>14.100000000000001</v>
      </c>
      <c r="J2" s="4">
        <f>H8/26</f>
        <v>14.853846153846153</v>
      </c>
      <c r="K2" s="14">
        <f>I2-J2</f>
        <v>-0.75384615384615117</v>
      </c>
    </row>
    <row r="3" spans="2:11" x14ac:dyDescent="0.25">
      <c r="B3" s="3" t="s">
        <v>1</v>
      </c>
      <c r="C3" s="2">
        <v>12.8</v>
      </c>
      <c r="D3" s="2">
        <v>12.5</v>
      </c>
      <c r="E3" s="2">
        <v>13.4</v>
      </c>
      <c r="F3" s="2">
        <v>13</v>
      </c>
      <c r="G3" s="2">
        <v>12.3</v>
      </c>
      <c r="H3" s="4">
        <f t="shared" ref="H3:H7" si="0">SUM(C3:G3)</f>
        <v>64</v>
      </c>
      <c r="I3" s="4">
        <f>H3/5</f>
        <v>12.8</v>
      </c>
      <c r="J3" s="4"/>
      <c r="K3" s="14">
        <f>I3-J2</f>
        <v>-2.0538461538461519</v>
      </c>
    </row>
    <row r="4" spans="2:11" x14ac:dyDescent="0.25">
      <c r="B4" s="3" t="s">
        <v>2</v>
      </c>
      <c r="C4" s="2">
        <v>13.5</v>
      </c>
      <c r="D4" s="2">
        <v>13.4</v>
      </c>
      <c r="E4" s="2">
        <v>14.1</v>
      </c>
      <c r="F4" s="2">
        <v>14.3</v>
      </c>
      <c r="G4" s="2"/>
      <c r="H4" s="4">
        <f t="shared" si="0"/>
        <v>55.3</v>
      </c>
      <c r="I4" s="4">
        <f>H4/4</f>
        <v>13.824999999999999</v>
      </c>
      <c r="J4" s="4"/>
      <c r="K4" s="14">
        <f>I4-J2</f>
        <v>-1.0288461538461533</v>
      </c>
    </row>
    <row r="5" spans="2:11" x14ac:dyDescent="0.25">
      <c r="B5" s="3" t="s">
        <v>3</v>
      </c>
      <c r="C5" s="2">
        <v>13.2</v>
      </c>
      <c r="D5" s="2">
        <v>12.7</v>
      </c>
      <c r="E5" s="2">
        <v>12.6</v>
      </c>
      <c r="F5" s="2">
        <v>13.9</v>
      </c>
      <c r="G5" s="2"/>
      <c r="H5" s="4">
        <f t="shared" si="0"/>
        <v>52.4</v>
      </c>
      <c r="I5" s="4">
        <f>H5/4</f>
        <v>13.1</v>
      </c>
      <c r="J5" s="4"/>
      <c r="K5" s="14">
        <f>I5-J2</f>
        <v>-1.7538461538461529</v>
      </c>
    </row>
    <row r="6" spans="2:11" x14ac:dyDescent="0.25">
      <c r="B6" s="3" t="s">
        <v>4</v>
      </c>
      <c r="C6" s="2">
        <v>16.8</v>
      </c>
      <c r="D6" s="2">
        <v>17.2</v>
      </c>
      <c r="E6" s="2">
        <v>16.399999999999999</v>
      </c>
      <c r="F6" s="2">
        <v>17.3</v>
      </c>
      <c r="G6" s="2">
        <v>18</v>
      </c>
      <c r="H6" s="4">
        <f t="shared" si="0"/>
        <v>85.7</v>
      </c>
      <c r="I6" s="4">
        <f>H6/5</f>
        <v>17.14</v>
      </c>
      <c r="J6" s="4"/>
      <c r="K6" s="14">
        <f>I6-J2</f>
        <v>2.286153846153848</v>
      </c>
    </row>
    <row r="7" spans="2:11" x14ac:dyDescent="0.25">
      <c r="B7" s="3" t="s">
        <v>5</v>
      </c>
      <c r="C7" s="2">
        <v>18.100000000000001</v>
      </c>
      <c r="D7" s="2">
        <v>17.2</v>
      </c>
      <c r="E7" s="2">
        <v>18.7</v>
      </c>
      <c r="F7" s="2">
        <v>18.399999999999999</v>
      </c>
      <c r="G7" s="2"/>
      <c r="H7" s="4">
        <f t="shared" si="0"/>
        <v>72.400000000000006</v>
      </c>
      <c r="I7" s="4">
        <f>H7/4</f>
        <v>18.100000000000001</v>
      </c>
      <c r="J7" s="4"/>
      <c r="K7" s="14">
        <f>I7-J2</f>
        <v>3.2461538461538488</v>
      </c>
    </row>
    <row r="8" spans="2:11" x14ac:dyDescent="0.25">
      <c r="C8" s="4"/>
      <c r="D8" s="4"/>
      <c r="E8" s="4"/>
      <c r="F8" s="4"/>
      <c r="G8" s="4"/>
      <c r="H8" s="11">
        <f>SUM(C2:G7)</f>
        <v>386.2</v>
      </c>
      <c r="I8" s="12" t="s">
        <v>15</v>
      </c>
      <c r="K8" s="15">
        <f>SUM(K2:K7)</f>
        <v>-5.8076923076912479E-2</v>
      </c>
    </row>
    <row r="9" spans="2:11" x14ac:dyDescent="0.25">
      <c r="I9" s="13">
        <f>H8^2/26</f>
        <v>5736.5553846153844</v>
      </c>
    </row>
    <row r="11" spans="2:11" x14ac:dyDescent="0.25">
      <c r="B11" s="7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16</v>
      </c>
      <c r="J11" s="17" t="s">
        <v>63</v>
      </c>
      <c r="K11" s="17" t="s">
        <v>64</v>
      </c>
    </row>
    <row r="12" spans="2:11" x14ac:dyDescent="0.25">
      <c r="B12" s="1" t="s">
        <v>12</v>
      </c>
      <c r="C12" s="2">
        <f>H2^2/4+H3^2/5+H4^2/4+H5^2/4+H6^2/5+H7^2/4-I9</f>
        <v>108.18511538461644</v>
      </c>
      <c r="D12" s="2">
        <v>5</v>
      </c>
      <c r="E12" s="10">
        <f>C12/D12</f>
        <v>21.637023076923288</v>
      </c>
      <c r="F12" s="10">
        <f>E12/E13</f>
        <v>79.263753372765848</v>
      </c>
      <c r="G12" s="9">
        <f>_xlfn.F.INV.RT(0.05,D12,D13)</f>
        <v>2.7108898372096917</v>
      </c>
      <c r="H12" s="2">
        <f>_xlfn.F.DIST.RT(F12,D12,D13)</f>
        <v>1.7369093605735197E-12</v>
      </c>
      <c r="J12">
        <f>6/(1+(2/5))</f>
        <v>4.2857142857142856</v>
      </c>
      <c r="K12">
        <v>4.4450000000000003</v>
      </c>
    </row>
    <row r="13" spans="2:11" x14ac:dyDescent="0.25">
      <c r="B13" s="1" t="s">
        <v>13</v>
      </c>
      <c r="C13" s="2">
        <f>C14-C12</f>
        <v>5.4594999999981155</v>
      </c>
      <c r="D13" s="2">
        <v>20</v>
      </c>
      <c r="E13" s="10">
        <f>C13/D13</f>
        <v>0.27297499999990577</v>
      </c>
      <c r="F13" s="8"/>
      <c r="G13" s="8"/>
      <c r="H13" s="6"/>
    </row>
    <row r="14" spans="2:11" x14ac:dyDescent="0.25">
      <c r="B14" s="1" t="s">
        <v>14</v>
      </c>
      <c r="C14" s="2">
        <f>SUMSQ(C2:G7)-I9</f>
        <v>113.64461538461455</v>
      </c>
      <c r="D14" s="2">
        <v>25</v>
      </c>
      <c r="E14" s="8"/>
      <c r="F14" s="8"/>
      <c r="G14" s="8"/>
      <c r="H14" s="6"/>
    </row>
    <row r="17" spans="1:14" x14ac:dyDescent="0.25">
      <c r="C17" s="5" t="s">
        <v>17</v>
      </c>
      <c r="D17" s="5"/>
      <c r="E17" s="5" t="s">
        <v>27</v>
      </c>
      <c r="F17" s="5" t="s">
        <v>28</v>
      </c>
      <c r="G17" s="5" t="s">
        <v>29</v>
      </c>
      <c r="H17" s="5" t="s">
        <v>30</v>
      </c>
      <c r="K17" s="5" t="s">
        <v>27</v>
      </c>
      <c r="L17" s="5" t="s">
        <v>28</v>
      </c>
      <c r="M17" s="5" t="s">
        <v>62</v>
      </c>
      <c r="N17" s="5" t="s">
        <v>30</v>
      </c>
    </row>
    <row r="18" spans="1:14" x14ac:dyDescent="0.25">
      <c r="A18" t="s">
        <v>21</v>
      </c>
      <c r="B18" s="3" t="s">
        <v>0</v>
      </c>
      <c r="C18">
        <v>14.100000000000001</v>
      </c>
      <c r="E18" t="s">
        <v>31</v>
      </c>
      <c r="F18" t="s">
        <v>33</v>
      </c>
      <c r="G18" s="16">
        <f>_xlfn.T.INV.2T(0.05,20)*SQRT(E13*((1/4)+(1/5)))</f>
        <v>0.73109596695263357</v>
      </c>
      <c r="H18">
        <f>C18-C19</f>
        <v>1.3000000000000007</v>
      </c>
      <c r="I18" t="s">
        <v>32</v>
      </c>
      <c r="K18" t="s">
        <v>31</v>
      </c>
      <c r="L18" s="18" t="s">
        <v>33</v>
      </c>
      <c r="M18" s="16">
        <f>K12*SQRT(E13/J12)</f>
        <v>1.1218159106349546</v>
      </c>
      <c r="N18">
        <v>1.3000000000000007</v>
      </c>
    </row>
    <row r="19" spans="1:14" x14ac:dyDescent="0.25">
      <c r="A19" t="s">
        <v>22</v>
      </c>
      <c r="B19" s="3" t="s">
        <v>1</v>
      </c>
      <c r="C19">
        <v>12.8</v>
      </c>
      <c r="E19" t="s">
        <v>34</v>
      </c>
      <c r="F19" t="s">
        <v>35</v>
      </c>
      <c r="G19" s="16">
        <f>_xlfn.T.INV.2T(0.05,20)*SQRT(2*E13/4)</f>
        <v>0.77064281457783768</v>
      </c>
      <c r="H19">
        <f>C18-C20</f>
        <v>0.27500000000000213</v>
      </c>
      <c r="I19" t="s">
        <v>61</v>
      </c>
      <c r="K19" s="18" t="s">
        <v>34</v>
      </c>
      <c r="L19" t="s">
        <v>35</v>
      </c>
      <c r="M19">
        <v>1.1220000000000001</v>
      </c>
      <c r="N19">
        <v>0.27500000000000213</v>
      </c>
    </row>
    <row r="20" spans="1:14" x14ac:dyDescent="0.25">
      <c r="A20" t="s">
        <v>23</v>
      </c>
      <c r="B20" s="3" t="s">
        <v>2</v>
      </c>
      <c r="C20">
        <v>13.824999999999999</v>
      </c>
      <c r="E20" t="s">
        <v>36</v>
      </c>
      <c r="F20" t="s">
        <v>37</v>
      </c>
      <c r="G20" s="16">
        <v>0.77100000000000002</v>
      </c>
      <c r="H20">
        <f>C18-C21</f>
        <v>1.0000000000000018</v>
      </c>
      <c r="I20" t="s">
        <v>32</v>
      </c>
      <c r="K20" s="18" t="s">
        <v>36</v>
      </c>
      <c r="L20" t="s">
        <v>37</v>
      </c>
      <c r="M20">
        <v>1.1220000000000001</v>
      </c>
      <c r="N20">
        <v>1.0000000000000018</v>
      </c>
    </row>
    <row r="21" spans="1:14" x14ac:dyDescent="0.25">
      <c r="A21" t="s">
        <v>24</v>
      </c>
      <c r="B21" s="3" t="s">
        <v>3</v>
      </c>
      <c r="C21">
        <v>13.1</v>
      </c>
      <c r="E21" t="s">
        <v>38</v>
      </c>
      <c r="F21" t="s">
        <v>39</v>
      </c>
      <c r="G21">
        <v>0.73099999999999998</v>
      </c>
      <c r="H21">
        <f>C22-C18</f>
        <v>3.0399999999999991</v>
      </c>
      <c r="I21" t="s">
        <v>32</v>
      </c>
      <c r="K21" t="s">
        <v>38</v>
      </c>
      <c r="L21" s="18" t="s">
        <v>39</v>
      </c>
      <c r="M21">
        <v>1.1220000000000001</v>
      </c>
      <c r="N21">
        <v>3.0399999999999991</v>
      </c>
    </row>
    <row r="22" spans="1:14" x14ac:dyDescent="0.25">
      <c r="A22" t="s">
        <v>25</v>
      </c>
      <c r="B22" s="3" t="s">
        <v>4</v>
      </c>
      <c r="C22">
        <v>17.14</v>
      </c>
      <c r="E22" t="s">
        <v>40</v>
      </c>
      <c r="F22" t="s">
        <v>41</v>
      </c>
      <c r="G22">
        <v>0.77100000000000002</v>
      </c>
      <c r="H22">
        <f>C23-C18</f>
        <v>4</v>
      </c>
      <c r="I22" t="s">
        <v>32</v>
      </c>
      <c r="K22" t="s">
        <v>40</v>
      </c>
      <c r="L22" s="18" t="s">
        <v>41</v>
      </c>
      <c r="M22">
        <v>1.1220000000000001</v>
      </c>
      <c r="N22">
        <v>4</v>
      </c>
    </row>
    <row r="23" spans="1:14" x14ac:dyDescent="0.25">
      <c r="A23" t="s">
        <v>26</v>
      </c>
      <c r="B23" s="3" t="s">
        <v>5</v>
      </c>
      <c r="C23">
        <v>18.100000000000001</v>
      </c>
      <c r="E23" t="s">
        <v>42</v>
      </c>
      <c r="F23" t="s">
        <v>43</v>
      </c>
      <c r="G23" s="16">
        <v>0.73099999999999998</v>
      </c>
      <c r="H23">
        <f>C20-C19</f>
        <v>1.0249999999999986</v>
      </c>
      <c r="I23" t="s">
        <v>32</v>
      </c>
      <c r="K23" s="18" t="s">
        <v>42</v>
      </c>
      <c r="L23" t="s">
        <v>43</v>
      </c>
      <c r="M23">
        <v>1.1220000000000001</v>
      </c>
      <c r="N23">
        <v>1.0249999999999986</v>
      </c>
    </row>
    <row r="24" spans="1:14" x14ac:dyDescent="0.25">
      <c r="E24" t="s">
        <v>44</v>
      </c>
      <c r="F24" t="s">
        <v>45</v>
      </c>
      <c r="G24" s="16">
        <v>0.73099999999999998</v>
      </c>
      <c r="H24">
        <f>C21-C19</f>
        <v>0.29999999999999893</v>
      </c>
      <c r="I24" t="s">
        <v>61</v>
      </c>
      <c r="K24" s="18" t="s">
        <v>44</v>
      </c>
      <c r="L24" t="s">
        <v>45</v>
      </c>
      <c r="M24">
        <v>1.1220000000000001</v>
      </c>
      <c r="N24">
        <v>0.29999999999999893</v>
      </c>
    </row>
    <row r="25" spans="1:14" x14ac:dyDescent="0.25">
      <c r="E25" t="s">
        <v>46</v>
      </c>
      <c r="F25" t="s">
        <v>47</v>
      </c>
      <c r="G25" s="16">
        <f>_xlfn.T.INV.2T(0.05,20)*SQRT(2*E13/5)</f>
        <v>0.68928388790712436</v>
      </c>
      <c r="H25">
        <f>C22-C19</f>
        <v>4.34</v>
      </c>
      <c r="I25" t="s">
        <v>32</v>
      </c>
      <c r="K25" t="s">
        <v>46</v>
      </c>
      <c r="L25" s="18" t="s">
        <v>47</v>
      </c>
      <c r="M25">
        <v>1.1220000000000001</v>
      </c>
      <c r="N25">
        <v>4.34</v>
      </c>
    </row>
    <row r="26" spans="1:14" x14ac:dyDescent="0.25">
      <c r="E26" t="s">
        <v>48</v>
      </c>
      <c r="F26" t="s">
        <v>49</v>
      </c>
      <c r="G26">
        <v>0.73099999999999998</v>
      </c>
      <c r="H26">
        <f>C23-C19</f>
        <v>5.3000000000000007</v>
      </c>
      <c r="I26" t="s">
        <v>32</v>
      </c>
      <c r="K26" t="s">
        <v>48</v>
      </c>
      <c r="L26" s="18" t="s">
        <v>49</v>
      </c>
      <c r="M26">
        <v>1.1220000000000001</v>
      </c>
      <c r="N26">
        <v>5.3000000000000007</v>
      </c>
    </row>
    <row r="27" spans="1:14" x14ac:dyDescent="0.25">
      <c r="E27" t="s">
        <v>50</v>
      </c>
      <c r="F27" t="s">
        <v>51</v>
      </c>
      <c r="G27" s="16">
        <v>0.77100000000000002</v>
      </c>
      <c r="H27">
        <v>0.73</v>
      </c>
      <c r="I27" t="s">
        <v>61</v>
      </c>
      <c r="K27" s="18" t="s">
        <v>50</v>
      </c>
      <c r="L27" t="s">
        <v>51</v>
      </c>
      <c r="M27">
        <v>1.1220000000000001</v>
      </c>
      <c r="N27">
        <v>0.73</v>
      </c>
    </row>
    <row r="28" spans="1:14" x14ac:dyDescent="0.25">
      <c r="E28" t="s">
        <v>52</v>
      </c>
      <c r="F28" t="s">
        <v>53</v>
      </c>
      <c r="G28" s="16">
        <v>0.73099999999999998</v>
      </c>
      <c r="H28">
        <v>3.32</v>
      </c>
      <c r="I28" t="s">
        <v>32</v>
      </c>
      <c r="K28" t="s">
        <v>52</v>
      </c>
      <c r="L28" s="18" t="s">
        <v>53</v>
      </c>
      <c r="M28">
        <v>1.1220000000000001</v>
      </c>
      <c r="N28">
        <v>3.32</v>
      </c>
    </row>
    <row r="29" spans="1:14" x14ac:dyDescent="0.25">
      <c r="E29" t="s">
        <v>54</v>
      </c>
      <c r="F29" t="s">
        <v>55</v>
      </c>
      <c r="G29" s="16">
        <v>0.77100000000000002</v>
      </c>
      <c r="H29">
        <v>4.28</v>
      </c>
      <c r="I29" t="s">
        <v>32</v>
      </c>
      <c r="K29" t="s">
        <v>54</v>
      </c>
      <c r="L29" s="18" t="s">
        <v>55</v>
      </c>
      <c r="M29">
        <v>1.1220000000000001</v>
      </c>
      <c r="N29">
        <v>4.28</v>
      </c>
    </row>
    <row r="30" spans="1:14" x14ac:dyDescent="0.25">
      <c r="E30" t="s">
        <v>56</v>
      </c>
      <c r="F30" t="s">
        <v>57</v>
      </c>
      <c r="G30" s="16">
        <v>0.73099999999999998</v>
      </c>
      <c r="H30">
        <v>4.04</v>
      </c>
      <c r="I30" t="s">
        <v>32</v>
      </c>
      <c r="K30" t="s">
        <v>56</v>
      </c>
      <c r="L30" s="18" t="s">
        <v>57</v>
      </c>
      <c r="M30">
        <v>1.1220000000000001</v>
      </c>
      <c r="N30">
        <v>4.04</v>
      </c>
    </row>
    <row r="31" spans="1:14" x14ac:dyDescent="0.25">
      <c r="E31" t="s">
        <v>58</v>
      </c>
      <c r="F31" t="s">
        <v>59</v>
      </c>
      <c r="G31" s="16">
        <v>0.77100000000000002</v>
      </c>
      <c r="H31">
        <v>5</v>
      </c>
      <c r="I31" t="s">
        <v>32</v>
      </c>
      <c r="K31" t="s">
        <v>58</v>
      </c>
      <c r="L31" s="18" t="s">
        <v>59</v>
      </c>
      <c r="M31">
        <v>1.1220000000000001</v>
      </c>
      <c r="N31">
        <v>5</v>
      </c>
    </row>
    <row r="32" spans="1:14" x14ac:dyDescent="0.25">
      <c r="E32" t="s">
        <v>60</v>
      </c>
      <c r="F32" t="s">
        <v>55</v>
      </c>
      <c r="G32" s="16">
        <v>0.73099999999999998</v>
      </c>
      <c r="H32">
        <v>0.96</v>
      </c>
      <c r="I32" t="s">
        <v>32</v>
      </c>
      <c r="K32" s="18" t="s">
        <v>60</v>
      </c>
      <c r="L32" t="s">
        <v>55</v>
      </c>
      <c r="M32">
        <v>1.1220000000000001</v>
      </c>
      <c r="N32">
        <v>0.96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Arroyave Rojas</dc:creator>
  <cp:lastModifiedBy>Familia Arroyave Rojas</cp:lastModifiedBy>
  <dcterms:created xsi:type="dcterms:W3CDTF">2023-05-01T19:40:50Z</dcterms:created>
  <dcterms:modified xsi:type="dcterms:W3CDTF">2023-05-01T23:24:08Z</dcterms:modified>
</cp:coreProperties>
</file>